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DM5\Desktop\Python\Диплом\"/>
    </mc:Choice>
  </mc:AlternateContent>
  <bookViews>
    <workbookView xWindow="240" yWindow="15" windowWidth="16095" windowHeight="9660"/>
  </bookViews>
  <sheets>
    <sheet name="Итог" sheetId="4" r:id="rId1"/>
    <sheet name="Положительные" sheetId="1" r:id="rId2"/>
    <sheet name="Отрицательные" sheetId="2" r:id="rId3"/>
    <sheet name="Нейтральные" sheetId="3" r:id="rId4"/>
  </sheets>
  <calcPr calcId="162913"/>
</workbook>
</file>

<file path=xl/calcChain.xml><?xml version="1.0" encoding="utf-8"?>
<calcChain xmlns="http://schemas.openxmlformats.org/spreadsheetml/2006/main">
  <c r="O2" i="1" l="1"/>
  <c r="B5" i="4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B8" i="4" s="1"/>
  <c r="O3" i="2"/>
  <c r="O4" i="2"/>
  <c r="O2" i="2"/>
  <c r="B6" i="4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B7" i="4" l="1"/>
</calcChain>
</file>

<file path=xl/sharedStrings.xml><?xml version="1.0" encoding="utf-8"?>
<sst xmlns="http://schemas.openxmlformats.org/spreadsheetml/2006/main" count="156" uniqueCount="44">
  <si>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</si>
  <si>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</si>
  <si>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</si>
  <si>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</si>
  <si>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</si>
  <si>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</si>
  <si>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</si>
  <si>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</si>
  <si>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</si>
  <si>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</si>
  <si>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</si>
  <si>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</si>
  <si>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</si>
  <si>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</si>
  <si>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</si>
  <si>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</si>
  <si>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</si>
  <si>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</si>
  <si>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</si>
  <si>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положительный</t>
  </si>
  <si>
    <t>Волгоград</t>
  </si>
  <si>
    <t>Краснодар</t>
  </si>
  <si>
    <t>отрицательный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</si>
  <si>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</si>
  <si>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</si>
  <si>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</si>
  <si>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</si>
  <si>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</si>
  <si>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</si>
  <si>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</si>
  <si>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</si>
  <si>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нейтральный</t>
  </si>
  <si>
    <t>Вводные данные</t>
  </si>
  <si>
    <t>Значения</t>
  </si>
  <si>
    <t>Итоговые результаты:</t>
  </si>
  <si>
    <t>N</t>
  </si>
  <si>
    <t>MDE</t>
  </si>
  <si>
    <t>Баланс</t>
  </si>
  <si>
    <t>Прирост выручки</t>
  </si>
  <si>
    <t>Падение выручки</t>
  </si>
  <si>
    <t>Количество наблюдений</t>
  </si>
  <si>
    <t>Выгода</t>
  </si>
  <si>
    <t>Потери</t>
  </si>
  <si>
    <t>Расчёт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</si>
</sst>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-* #,##0\ [$₽-419]_-;\-* #,##0\ [$₽-419]_-;_-* &quot;-&quot;??\ [$₽-419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16" sqref="F16"/>
    </sheetView>
  </sheetViews>
  <sheetFormatPr defaultRowHeight="15" x14ac:dyDescent="0.25"/>
  <cols>
    <col min="1" max="1" width="24.140625" bestFit="1" customWidth="1"/>
    <col min="2" max="2" width="11" bestFit="1" customWidth="1"/>
  </cols>
  <sheetData>
    <row r="1" spans="1:2" x14ac:dyDescent="0.25">
      <c r="A1" s="5" t="s">
        <v>32</v>
      </c>
      <c r="B1" s="5" t="s">
        <v>33</v>
      </c>
    </row>
    <row r="2" spans="1:2" x14ac:dyDescent="0.25">
      <c r="A2" s="2" t="s">
        <v>35</v>
      </c>
      <c r="B2" s="2">
        <v>1000</v>
      </c>
    </row>
    <row r="3" spans="1:2" x14ac:dyDescent="0.25">
      <c r="A3" s="2" t="s">
        <v>36</v>
      </c>
      <c r="B3" s="3">
        <v>1000</v>
      </c>
    </row>
    <row r="4" spans="1:2" x14ac:dyDescent="0.25">
      <c r="A4" s="5" t="s">
        <v>34</v>
      </c>
      <c r="B4" s="2"/>
    </row>
    <row r="5" spans="1:2" x14ac:dyDescent="0.25">
      <c r="A5" s="2" t="s">
        <v>38</v>
      </c>
      <c r="B5" s="4">
        <f>SUM(Положительные!O2:O18)</f>
        <v>26363319.716959361</v>
      </c>
    </row>
    <row r="6" spans="1:2" x14ac:dyDescent="0.25">
      <c r="A6" s="2" t="s">
        <v>39</v>
      </c>
      <c r="B6" s="4">
        <f>SUM(Отрицательные!O2:O4)</f>
        <v>-2561374.3891356234</v>
      </c>
    </row>
    <row r="7" spans="1:2" x14ac:dyDescent="0.25">
      <c r="A7" s="2" t="s">
        <v>37</v>
      </c>
      <c r="B7" s="4">
        <f>SUM(B5:B6)</f>
        <v>23801945.327823736</v>
      </c>
    </row>
    <row r="8" spans="1:2" x14ac:dyDescent="0.25">
      <c r="A8" s="2" t="s">
        <v>40</v>
      </c>
      <c r="B8" s="4">
        <f>SUM(Нейтральные!O2:O32)</f>
        <v>4259.6848101743381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I27" sqref="I27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10" width="12" bestFit="1" customWidth="1"/>
    <col min="11" max="11" width="13.5703125" bestFit="1" customWidth="1"/>
    <col min="12" max="12" width="12" bestFit="1" customWidth="1"/>
    <col min="13" max="13" width="12.140625" bestFit="1" customWidth="1"/>
    <col min="14" max="14" width="16.140625" bestFit="1" customWidth="1"/>
    <col min="15" max="15" width="10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41</v>
      </c>
    </row>
    <row r="2" spans="1:15" x14ac:dyDescent="0.25">
      <c r="A2" t="s">
        <v>14</v>
      </c>
      <c r="B2">
        <v>991</v>
      </c>
      <c r="C2">
        <v>270</v>
      </c>
      <c r="D2">
        <v>294</v>
      </c>
      <c r="E2">
        <v>564</v>
      </c>
      <c r="F2">
        <v>1.2445385939361839</v>
      </c>
      <c r="G2">
        <v>3249.281481481481</v>
      </c>
      <c r="H2">
        <v>2452.9863945578231</v>
      </c>
      <c r="I2">
        <v>796.29508692365835</v>
      </c>
      <c r="J2">
        <v>4719.5926012697964</v>
      </c>
      <c r="K2">
        <v>3633.9358583139442</v>
      </c>
      <c r="L2">
        <v>2.2308161946965539</v>
      </c>
      <c r="M2">
        <v>2.6132233544756141E-2</v>
      </c>
      <c r="N2" t="s">
        <v>19</v>
      </c>
      <c r="O2">
        <f>I2*F2*Итог!$B$2</f>
        <v>991019.96783826104</v>
      </c>
    </row>
    <row r="3" spans="1:15" x14ac:dyDescent="0.25">
      <c r="A3" t="s">
        <v>15</v>
      </c>
      <c r="B3">
        <v>453</v>
      </c>
      <c r="C3">
        <v>1066</v>
      </c>
      <c r="D3">
        <v>1049</v>
      </c>
      <c r="E3">
        <v>2115</v>
      </c>
      <c r="F3">
        <v>4.6670197272606906</v>
      </c>
      <c r="G3">
        <v>2501.9662288930581</v>
      </c>
      <c r="H3">
        <v>1889.9237368922779</v>
      </c>
      <c r="I3">
        <v>612.0424920007797</v>
      </c>
      <c r="J3">
        <v>2993.4425401386729</v>
      </c>
      <c r="K3">
        <v>2648.6593032825899</v>
      </c>
      <c r="L3">
        <v>4.9817858368208183</v>
      </c>
      <c r="M3">
        <v>6.8173980046560229E-7</v>
      </c>
      <c r="N3" t="s">
        <v>19</v>
      </c>
      <c r="O3">
        <f>I3*F3*Итог!$B$2</f>
        <v>2856414.3840894322</v>
      </c>
    </row>
    <row r="4" spans="1:15" x14ac:dyDescent="0.25">
      <c r="A4" t="s">
        <v>16</v>
      </c>
      <c r="B4">
        <v>2652</v>
      </c>
      <c r="C4">
        <v>2273</v>
      </c>
      <c r="D4">
        <v>2370</v>
      </c>
      <c r="E4">
        <v>4643</v>
      </c>
      <c r="F4">
        <v>10.24537711284699</v>
      </c>
      <c r="G4">
        <v>2506.6168059832821</v>
      </c>
      <c r="H4">
        <v>1972.847679324894</v>
      </c>
      <c r="I4">
        <v>533.76912665838768</v>
      </c>
      <c r="J4">
        <v>2842.1829484600089</v>
      </c>
      <c r="K4">
        <v>2565.8782422552181</v>
      </c>
      <c r="L4">
        <v>6.7079289502383057</v>
      </c>
      <c r="M4">
        <v>2.215658034115707E-11</v>
      </c>
      <c r="N4" t="s">
        <v>19</v>
      </c>
      <c r="O4">
        <f>I4*F4*Итог!$B$2</f>
        <v>5468665.9938101713</v>
      </c>
    </row>
    <row r="5" spans="1:15" x14ac:dyDescent="0.25">
      <c r="A5" t="s">
        <v>17</v>
      </c>
      <c r="B5">
        <v>11</v>
      </c>
      <c r="C5">
        <v>509</v>
      </c>
      <c r="D5">
        <v>608</v>
      </c>
      <c r="E5">
        <v>1117</v>
      </c>
      <c r="F5">
        <v>2.464804272033188</v>
      </c>
      <c r="G5">
        <v>2547.2200392927311</v>
      </c>
      <c r="H5">
        <v>2108.6101973684208</v>
      </c>
      <c r="I5">
        <v>438.60984192430942</v>
      </c>
      <c r="J5">
        <v>3023.7021636269142</v>
      </c>
      <c r="K5">
        <v>2663.038391974123</v>
      </c>
      <c r="L5">
        <v>2.5482347898198001</v>
      </c>
      <c r="M5">
        <v>1.0972397245538289E-2</v>
      </c>
      <c r="N5" t="s">
        <v>19</v>
      </c>
      <c r="O5">
        <f>I5*F5*Итог!$B$2</f>
        <v>1081087.4121308392</v>
      </c>
    </row>
    <row r="6" spans="1:15" x14ac:dyDescent="0.25">
      <c r="A6" t="s">
        <v>16</v>
      </c>
      <c r="B6">
        <v>1287</v>
      </c>
      <c r="C6">
        <v>370</v>
      </c>
      <c r="D6">
        <v>357</v>
      </c>
      <c r="E6">
        <v>727</v>
      </c>
      <c r="F6">
        <v>1.604219074098592</v>
      </c>
      <c r="G6">
        <v>2128.5567567567568</v>
      </c>
      <c r="H6">
        <v>1394.6554621848741</v>
      </c>
      <c r="I6">
        <v>733.901294571883</v>
      </c>
      <c r="J6">
        <v>2437.376458023039</v>
      </c>
      <c r="K6">
        <v>2338.4617787149841</v>
      </c>
      <c r="L6">
        <v>4.1433680375334339</v>
      </c>
      <c r="M6">
        <v>3.8262008054559739E-5</v>
      </c>
      <c r="N6" t="s">
        <v>19</v>
      </c>
      <c r="O6">
        <f>I6*F6*Итог!$B$2</f>
        <v>1177338.4552578642</v>
      </c>
    </row>
    <row r="7" spans="1:15" x14ac:dyDescent="0.25">
      <c r="A7" t="s">
        <v>15</v>
      </c>
      <c r="B7">
        <v>801</v>
      </c>
      <c r="C7">
        <v>225</v>
      </c>
      <c r="D7">
        <v>212</v>
      </c>
      <c r="E7">
        <v>437</v>
      </c>
      <c r="F7">
        <v>0.96429674742927762</v>
      </c>
      <c r="G7">
        <v>2925.1422222222218</v>
      </c>
      <c r="H7">
        <v>2352.283018867925</v>
      </c>
      <c r="I7">
        <v>572.85920335429773</v>
      </c>
      <c r="J7">
        <v>2774.2920633734352</v>
      </c>
      <c r="K7">
        <v>2928.2858378165042</v>
      </c>
      <c r="L7">
        <v>2.0966140626762448</v>
      </c>
      <c r="M7">
        <v>3.6612171922677982E-2</v>
      </c>
      <c r="N7" t="s">
        <v>19</v>
      </c>
      <c r="O7">
        <f>I7*F7*Итог!$B$2</f>
        <v>552406.26652947639</v>
      </c>
    </row>
    <row r="8" spans="1:15" x14ac:dyDescent="0.25">
      <c r="A8" t="s">
        <v>18</v>
      </c>
      <c r="B8">
        <v>33</v>
      </c>
      <c r="C8">
        <v>232</v>
      </c>
      <c r="D8">
        <v>258</v>
      </c>
      <c r="E8">
        <v>490</v>
      </c>
      <c r="F8">
        <v>1.081248069199876</v>
      </c>
      <c r="G8">
        <v>4598.2198275862074</v>
      </c>
      <c r="H8">
        <v>2311.3875968992252</v>
      </c>
      <c r="I8">
        <v>2286.8322306869818</v>
      </c>
      <c r="J8">
        <v>2931.2349256860789</v>
      </c>
      <c r="K8">
        <v>2371.771295626133</v>
      </c>
      <c r="L8">
        <v>9.4276461792725943</v>
      </c>
      <c r="M8">
        <v>2.33037312953587E-19</v>
      </c>
      <c r="N8" t="s">
        <v>19</v>
      </c>
      <c r="O8">
        <f>I8*F8*Итог!$B$2</f>
        <v>2472632.9340143446</v>
      </c>
    </row>
    <row r="9" spans="1:15" x14ac:dyDescent="0.25">
      <c r="A9" t="s">
        <v>18</v>
      </c>
      <c r="B9">
        <v>34</v>
      </c>
      <c r="C9">
        <v>225</v>
      </c>
      <c r="D9">
        <v>253</v>
      </c>
      <c r="E9">
        <v>478</v>
      </c>
      <c r="F9">
        <v>1.0547685246480429</v>
      </c>
      <c r="G9">
        <v>3104.5066666666671</v>
      </c>
      <c r="H9">
        <v>1752.608695652174</v>
      </c>
      <c r="I9">
        <v>1351.8979710144929</v>
      </c>
      <c r="J9">
        <v>2956.8269145922532</v>
      </c>
      <c r="K9">
        <v>2529.7007981220449</v>
      </c>
      <c r="L9">
        <v>5.3375522525397967</v>
      </c>
      <c r="M9">
        <v>1.5066305202040019E-7</v>
      </c>
      <c r="N9" t="s">
        <v>19</v>
      </c>
      <c r="O9">
        <f>I9*F9*Итог!$B$2</f>
        <v>1425939.4283616394</v>
      </c>
    </row>
    <row r="10" spans="1:15" x14ac:dyDescent="0.25">
      <c r="A10" t="s">
        <v>15</v>
      </c>
      <c r="B10">
        <v>573</v>
      </c>
      <c r="C10">
        <v>177</v>
      </c>
      <c r="D10">
        <v>160</v>
      </c>
      <c r="E10">
        <v>337</v>
      </c>
      <c r="F10">
        <v>0.74363387616399657</v>
      </c>
      <c r="G10">
        <v>2929.0451977401131</v>
      </c>
      <c r="H10">
        <v>1641.2125000000001</v>
      </c>
      <c r="I10">
        <v>1287.832697740113</v>
      </c>
      <c r="J10">
        <v>3201.0981368955968</v>
      </c>
      <c r="K10">
        <v>2619.0447809502271</v>
      </c>
      <c r="L10">
        <v>4.057015388980501</v>
      </c>
      <c r="M10">
        <v>6.2017129445523744E-5</v>
      </c>
      <c r="N10" t="s">
        <v>19</v>
      </c>
      <c r="O10">
        <f>I10*F10*Итог!$B$2</f>
        <v>957676.02087121678</v>
      </c>
    </row>
    <row r="11" spans="1:15" x14ac:dyDescent="0.25">
      <c r="A11" t="s">
        <v>15</v>
      </c>
      <c r="B11">
        <v>900</v>
      </c>
      <c r="C11">
        <v>335</v>
      </c>
      <c r="D11">
        <v>341</v>
      </c>
      <c r="E11">
        <v>676</v>
      </c>
      <c r="F11">
        <v>1.4916810097532991</v>
      </c>
      <c r="G11">
        <v>2450.991044776119</v>
      </c>
      <c r="H11">
        <v>1689.7917888563049</v>
      </c>
      <c r="I11">
        <v>761.1992559198145</v>
      </c>
      <c r="J11">
        <v>2865.6073558468579</v>
      </c>
      <c r="K11">
        <v>2492.4726113410602</v>
      </c>
      <c r="L11">
        <v>3.6823738401673038</v>
      </c>
      <c r="M11">
        <v>2.5003858574371542E-4</v>
      </c>
      <c r="N11" t="s">
        <v>19</v>
      </c>
      <c r="O11">
        <f>I11*F11*Итог!$B$2</f>
        <v>1135466.4746939288</v>
      </c>
    </row>
    <row r="12" spans="1:15" x14ac:dyDescent="0.25">
      <c r="A12" t="s">
        <v>18</v>
      </c>
      <c r="B12">
        <v>35</v>
      </c>
      <c r="C12">
        <v>214</v>
      </c>
      <c r="D12">
        <v>194</v>
      </c>
      <c r="E12">
        <v>408</v>
      </c>
      <c r="F12">
        <v>0.90030451476234619</v>
      </c>
      <c r="G12">
        <v>2762.2242990654199</v>
      </c>
      <c r="H12">
        <v>1508.8350515463919</v>
      </c>
      <c r="I12">
        <v>1253.3892475190289</v>
      </c>
      <c r="J12">
        <v>2977.0835472163549</v>
      </c>
      <c r="K12">
        <v>2184.8080940632271</v>
      </c>
      <c r="L12">
        <v>4.8780314928118829</v>
      </c>
      <c r="M12">
        <v>1.56434351857128E-6</v>
      </c>
      <c r="N12" t="s">
        <v>19</v>
      </c>
      <c r="O12">
        <f>I12*F12*Итог!$B$2</f>
        <v>1128431.9982959616</v>
      </c>
    </row>
    <row r="13" spans="1:15" x14ac:dyDescent="0.25">
      <c r="A13" t="s">
        <v>15</v>
      </c>
      <c r="B13">
        <v>117</v>
      </c>
      <c r="C13">
        <v>625</v>
      </c>
      <c r="D13">
        <v>587</v>
      </c>
      <c r="E13">
        <v>1212</v>
      </c>
      <c r="F13">
        <v>2.6744339997352049</v>
      </c>
      <c r="G13">
        <v>2582.2975999999999</v>
      </c>
      <c r="H13">
        <v>2050.6916524701869</v>
      </c>
      <c r="I13">
        <v>531.60594752981251</v>
      </c>
      <c r="J13">
        <v>2835.004503186402</v>
      </c>
      <c r="K13">
        <v>2595.7377919626342</v>
      </c>
      <c r="L13">
        <v>3.4075863123634051</v>
      </c>
      <c r="M13">
        <v>6.7695551434476277E-4</v>
      </c>
      <c r="N13" t="s">
        <v>19</v>
      </c>
      <c r="O13">
        <f>I13*F13*Итог!$B$2</f>
        <v>1421745.0205351799</v>
      </c>
    </row>
    <row r="14" spans="1:15" x14ac:dyDescent="0.25">
      <c r="A14" t="s">
        <v>16</v>
      </c>
      <c r="B14">
        <v>1654</v>
      </c>
      <c r="C14">
        <v>799</v>
      </c>
      <c r="D14">
        <v>775</v>
      </c>
      <c r="E14">
        <v>1574</v>
      </c>
      <c r="F14">
        <v>3.4732335937155221</v>
      </c>
      <c r="G14">
        <v>3132.3016270337921</v>
      </c>
      <c r="H14">
        <v>2507.8864516129029</v>
      </c>
      <c r="I14">
        <v>624.41517542088877</v>
      </c>
      <c r="J14">
        <v>3199.6602001424731</v>
      </c>
      <c r="K14">
        <v>2950.5128884516971</v>
      </c>
      <c r="L14">
        <v>4.0267058066805212</v>
      </c>
      <c r="M14">
        <v>5.92660495029251E-5</v>
      </c>
      <c r="N14" t="s">
        <v>19</v>
      </c>
      <c r="O14">
        <f>I14*F14*Итог!$B$2</f>
        <v>2168739.7636976014</v>
      </c>
    </row>
    <row r="15" spans="1:15" x14ac:dyDescent="0.25">
      <c r="A15" t="s">
        <v>15</v>
      </c>
      <c r="B15">
        <v>213</v>
      </c>
      <c r="C15">
        <v>232</v>
      </c>
      <c r="D15">
        <v>255</v>
      </c>
      <c r="E15">
        <v>487</v>
      </c>
      <c r="F15">
        <v>1.074628183061918</v>
      </c>
      <c r="G15">
        <v>2977.629310344827</v>
      </c>
      <c r="H15">
        <v>2277.6117647058818</v>
      </c>
      <c r="I15">
        <v>700.01754563894519</v>
      </c>
      <c r="J15">
        <v>2905.494362359007</v>
      </c>
      <c r="K15">
        <v>2710.043413201317</v>
      </c>
      <c r="L15">
        <v>2.741715697935414</v>
      </c>
      <c r="M15">
        <v>6.3438837438314546E-3</v>
      </c>
      <c r="N15" t="s">
        <v>19</v>
      </c>
      <c r="O15">
        <f>I15*F15*Итог!$B$2</f>
        <v>752258.58318144293</v>
      </c>
    </row>
    <row r="16" spans="1:15" x14ac:dyDescent="0.25">
      <c r="A16" t="s">
        <v>18</v>
      </c>
      <c r="B16">
        <v>36</v>
      </c>
      <c r="C16">
        <v>131</v>
      </c>
      <c r="D16">
        <v>141</v>
      </c>
      <c r="E16">
        <v>272</v>
      </c>
      <c r="F16">
        <v>0.60020300984156405</v>
      </c>
      <c r="G16">
        <v>1987.3282442748091</v>
      </c>
      <c r="H16">
        <v>860.41843971631204</v>
      </c>
      <c r="I16">
        <v>1126.9098045584969</v>
      </c>
      <c r="J16">
        <v>2718.5026632115769</v>
      </c>
      <c r="K16">
        <v>1840.8266394516061</v>
      </c>
      <c r="L16">
        <v>3.9731408322184598</v>
      </c>
      <c r="M16">
        <v>9.5383697993993677E-5</v>
      </c>
      <c r="N16" t="s">
        <v>19</v>
      </c>
      <c r="O16">
        <f>I16*F16*Итог!$B$2</f>
        <v>676374.65651597863</v>
      </c>
    </row>
    <row r="17" spans="1:15" x14ac:dyDescent="0.25">
      <c r="A17" t="s">
        <v>15</v>
      </c>
      <c r="B17">
        <v>891</v>
      </c>
      <c r="C17">
        <v>159</v>
      </c>
      <c r="D17">
        <v>167</v>
      </c>
      <c r="E17">
        <v>326</v>
      </c>
      <c r="F17">
        <v>0.71936096032481578</v>
      </c>
      <c r="G17">
        <v>2618.949685534591</v>
      </c>
      <c r="H17">
        <v>1980.65868263473</v>
      </c>
      <c r="I17">
        <v>638.29100289986059</v>
      </c>
      <c r="J17">
        <v>2899.78246412116</v>
      </c>
      <c r="K17">
        <v>2489.571942139818</v>
      </c>
      <c r="L17">
        <v>2.1276516840016768</v>
      </c>
      <c r="M17">
        <v>3.4150993769134087E-2</v>
      </c>
      <c r="N17" t="s">
        <v>19</v>
      </c>
      <c r="O17">
        <f>I17*F17*Итог!$B$2</f>
        <v>459161.62881273351</v>
      </c>
    </row>
    <row r="18" spans="1:15" x14ac:dyDescent="0.25">
      <c r="A18" t="s">
        <v>16</v>
      </c>
      <c r="B18">
        <v>1002</v>
      </c>
      <c r="C18">
        <v>138</v>
      </c>
      <c r="D18">
        <v>188</v>
      </c>
      <c r="E18">
        <v>326</v>
      </c>
      <c r="F18">
        <v>0.71936096032481578</v>
      </c>
      <c r="G18">
        <v>4121.753623188406</v>
      </c>
      <c r="H18">
        <v>1844.7872340425531</v>
      </c>
      <c r="I18">
        <v>2276.9663891458531</v>
      </c>
      <c r="J18">
        <v>4084.2631759817141</v>
      </c>
      <c r="K18">
        <v>2436.536120119913</v>
      </c>
      <c r="L18">
        <v>5.8315444967906966</v>
      </c>
      <c r="M18">
        <v>2.081121463922143E-8</v>
      </c>
      <c r="N18" t="s">
        <v>19</v>
      </c>
      <c r="O18">
        <f>I18*F18*Итог!$B$2</f>
        <v>1637960.728323289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N14" sqref="N14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2.7109375" bestFit="1" customWidth="1"/>
    <col min="13" max="13" width="12.140625" bestFit="1" customWidth="1"/>
    <col min="14" max="14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42</v>
      </c>
    </row>
    <row r="2" spans="1:15" x14ac:dyDescent="0.25">
      <c r="A2" t="s">
        <v>20</v>
      </c>
      <c r="B2">
        <v>66</v>
      </c>
      <c r="C2">
        <v>657</v>
      </c>
      <c r="D2">
        <v>703</v>
      </c>
      <c r="E2">
        <v>1360</v>
      </c>
      <c r="F2">
        <v>3.0010150492078198</v>
      </c>
      <c r="G2">
        <v>2288.8706240487058</v>
      </c>
      <c r="H2">
        <v>2601.7610241820771</v>
      </c>
      <c r="I2">
        <v>-312.89040013337029</v>
      </c>
      <c r="J2">
        <v>2682.5676104733539</v>
      </c>
      <c r="K2">
        <v>2830.193773341512</v>
      </c>
      <c r="L2">
        <v>-2.093060153710971</v>
      </c>
      <c r="M2">
        <v>3.6528981767956922E-2</v>
      </c>
      <c r="N2" t="s">
        <v>22</v>
      </c>
      <c r="O2">
        <f>I2*F2*Итог!$B$2</f>
        <v>-938988.79955290072</v>
      </c>
    </row>
    <row r="3" spans="1:15" x14ac:dyDescent="0.25">
      <c r="A3" t="s">
        <v>21</v>
      </c>
      <c r="B3">
        <v>1101</v>
      </c>
      <c r="C3">
        <v>785</v>
      </c>
      <c r="D3">
        <v>869</v>
      </c>
      <c r="E3">
        <v>1654</v>
      </c>
      <c r="F3">
        <v>3.6497638907277459</v>
      </c>
      <c r="G3">
        <v>2176.0038216560511</v>
      </c>
      <c r="H3">
        <v>2523.5788262370538</v>
      </c>
      <c r="I3">
        <v>-347.57500458100321</v>
      </c>
      <c r="J3">
        <v>2722.6244937401721</v>
      </c>
      <c r="K3">
        <v>2960.3523376384169</v>
      </c>
      <c r="L3">
        <v>-2.4872700979499531</v>
      </c>
      <c r="M3">
        <v>1.297082192104358E-2</v>
      </c>
      <c r="N3" t="s">
        <v>22</v>
      </c>
      <c r="O3">
        <f>I3*F3*Итог!$B$2</f>
        <v>-1268566.7010392766</v>
      </c>
    </row>
    <row r="4" spans="1:15" x14ac:dyDescent="0.25">
      <c r="A4" t="s">
        <v>16</v>
      </c>
      <c r="B4">
        <v>9931</v>
      </c>
      <c r="C4">
        <v>153</v>
      </c>
      <c r="D4">
        <v>137</v>
      </c>
      <c r="E4">
        <v>290</v>
      </c>
      <c r="F4">
        <v>0.6399223266693147</v>
      </c>
      <c r="G4">
        <v>1415.7843137254899</v>
      </c>
      <c r="H4">
        <v>1968.693430656934</v>
      </c>
      <c r="I4">
        <v>-552.90911693144403</v>
      </c>
      <c r="J4">
        <v>2038.1642473623181</v>
      </c>
      <c r="K4">
        <v>2403.3978568404682</v>
      </c>
      <c r="L4">
        <v>-2.10011597194835</v>
      </c>
      <c r="M4">
        <v>3.6653069248586731E-2</v>
      </c>
      <c r="N4" t="s">
        <v>22</v>
      </c>
      <c r="O4">
        <f>I4*F4*Итог!$B$2</f>
        <v>-353818.88854344585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O2" sqref="O2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2.7109375" bestFit="1" customWidth="1"/>
    <col min="13" max="13" width="12.140625" bestFit="1" customWidth="1"/>
    <col min="14" max="14" width="13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43</v>
      </c>
    </row>
    <row r="2" spans="1:15" x14ac:dyDescent="0.25">
      <c r="A2" t="s">
        <v>23</v>
      </c>
      <c r="B2">
        <v>212</v>
      </c>
      <c r="C2">
        <v>593</v>
      </c>
      <c r="D2">
        <v>575</v>
      </c>
      <c r="E2">
        <v>1168</v>
      </c>
      <c r="F2">
        <v>2.5773423363784809</v>
      </c>
      <c r="G2">
        <v>2144.317032040472</v>
      </c>
      <c r="H2">
        <v>2222.052173913044</v>
      </c>
      <c r="I2">
        <v>-77.735141872571603</v>
      </c>
      <c r="J2">
        <v>2708.5887239801191</v>
      </c>
      <c r="K2">
        <v>2785.1162501572312</v>
      </c>
      <c r="L2">
        <v>-0.48337766465396381</v>
      </c>
      <c r="M2">
        <v>0.62891867108223698</v>
      </c>
      <c r="N2" t="s">
        <v>31</v>
      </c>
      <c r="O2">
        <f>16*J2^2 / Итог!$B$3^2</f>
        <v>117.383246010756</v>
      </c>
    </row>
    <row r="3" spans="1:15" x14ac:dyDescent="0.25">
      <c r="A3" t="s">
        <v>24</v>
      </c>
      <c r="B3">
        <v>54</v>
      </c>
      <c r="C3">
        <v>633</v>
      </c>
      <c r="D3">
        <v>640</v>
      </c>
      <c r="E3">
        <v>1273</v>
      </c>
      <c r="F3">
        <v>2.8090383512070258</v>
      </c>
      <c r="G3">
        <v>1702.7140600315961</v>
      </c>
      <c r="H3">
        <v>1688.5125</v>
      </c>
      <c r="I3">
        <v>14.201560031595591</v>
      </c>
      <c r="J3">
        <v>2565.132439533973</v>
      </c>
      <c r="K3">
        <v>2628.01249032338</v>
      </c>
      <c r="L3">
        <v>9.7568656889196193E-2</v>
      </c>
      <c r="M3">
        <v>0.92229019988265493</v>
      </c>
      <c r="N3" t="s">
        <v>31</v>
      </c>
      <c r="O3">
        <f>16*J3^2 / Итог!$B$3^2</f>
        <v>105.27847091759219</v>
      </c>
    </row>
    <row r="4" spans="1:15" x14ac:dyDescent="0.25">
      <c r="A4" t="s">
        <v>23</v>
      </c>
      <c r="B4">
        <v>278</v>
      </c>
      <c r="C4">
        <v>535</v>
      </c>
      <c r="D4">
        <v>489</v>
      </c>
      <c r="E4">
        <v>1024</v>
      </c>
      <c r="F4">
        <v>2.259587801756477</v>
      </c>
      <c r="G4">
        <v>2499.3457943925232</v>
      </c>
      <c r="H4">
        <v>2185.21472392638</v>
      </c>
      <c r="I4">
        <v>314.13107046614277</v>
      </c>
      <c r="J4">
        <v>2915.9953289536438</v>
      </c>
      <c r="K4">
        <v>2574.9155972376111</v>
      </c>
      <c r="L4">
        <v>1.8304258823871311</v>
      </c>
      <c r="M4">
        <v>6.7477716140211128E-2</v>
      </c>
      <c r="N4" t="s">
        <v>31</v>
      </c>
      <c r="O4">
        <f>16*J4^2 / Итог!$B$3^2</f>
        <v>136.04846013567149</v>
      </c>
    </row>
    <row r="5" spans="1:15" x14ac:dyDescent="0.25">
      <c r="A5" t="s">
        <v>16</v>
      </c>
      <c r="B5">
        <v>6543</v>
      </c>
      <c r="C5">
        <v>662</v>
      </c>
      <c r="D5">
        <v>689</v>
      </c>
      <c r="E5">
        <v>1351</v>
      </c>
      <c r="F5">
        <v>2.981155390793945</v>
      </c>
      <c r="G5">
        <v>1702.439577039275</v>
      </c>
      <c r="H5">
        <v>1528.3251088534109</v>
      </c>
      <c r="I5">
        <v>174.1144681858643</v>
      </c>
      <c r="J5">
        <v>2453.9017173783332</v>
      </c>
      <c r="K5">
        <v>2338.5220633259491</v>
      </c>
      <c r="L5">
        <v>1.3340926911392501</v>
      </c>
      <c r="M5">
        <v>0.1824003948595537</v>
      </c>
      <c r="N5" t="s">
        <v>31</v>
      </c>
      <c r="O5">
        <f>16*J5^2 / Итог!$B$3^2</f>
        <v>96.346138216837332</v>
      </c>
    </row>
    <row r="6" spans="1:15" x14ac:dyDescent="0.25">
      <c r="A6" t="s">
        <v>14</v>
      </c>
      <c r="B6">
        <v>699</v>
      </c>
      <c r="C6">
        <v>482</v>
      </c>
      <c r="D6">
        <v>494</v>
      </c>
      <c r="E6">
        <v>976</v>
      </c>
      <c r="F6">
        <v>2.153669623549141</v>
      </c>
      <c r="G6">
        <v>2422.286307053942</v>
      </c>
      <c r="H6">
        <v>2574.3522267206481</v>
      </c>
      <c r="I6">
        <v>-152.0659196667057</v>
      </c>
      <c r="J6">
        <v>3906.8178974938301</v>
      </c>
      <c r="K6">
        <v>4082.8513558716591</v>
      </c>
      <c r="L6">
        <v>-0.59457604569322464</v>
      </c>
      <c r="M6">
        <v>0.55226503495765944</v>
      </c>
      <c r="N6" t="s">
        <v>31</v>
      </c>
      <c r="O6">
        <f>16*J6^2 / Итог!$B$3^2</f>
        <v>244.21161734684978</v>
      </c>
    </row>
    <row r="7" spans="1:15" x14ac:dyDescent="0.25">
      <c r="A7" t="s">
        <v>14</v>
      </c>
      <c r="B7">
        <v>477</v>
      </c>
      <c r="C7">
        <v>382</v>
      </c>
      <c r="D7">
        <v>386</v>
      </c>
      <c r="E7">
        <v>768</v>
      </c>
      <c r="F7">
        <v>1.6946908513173571</v>
      </c>
      <c r="G7">
        <v>2259.623036649215</v>
      </c>
      <c r="H7">
        <v>2496.987046632124</v>
      </c>
      <c r="I7">
        <v>-237.36400998290989</v>
      </c>
      <c r="J7">
        <v>3482.8460937348032</v>
      </c>
      <c r="K7">
        <v>3881.9947185225428</v>
      </c>
      <c r="L7">
        <v>-0.89209603158988471</v>
      </c>
      <c r="M7">
        <v>0.37262428210711002</v>
      </c>
      <c r="N7" t="s">
        <v>31</v>
      </c>
      <c r="O7">
        <f>16*J7^2 / Итог!$B$3^2</f>
        <v>194.08347060230042</v>
      </c>
    </row>
    <row r="8" spans="1:15" x14ac:dyDescent="0.25">
      <c r="A8" t="s">
        <v>14</v>
      </c>
      <c r="B8">
        <v>544</v>
      </c>
      <c r="C8">
        <v>377</v>
      </c>
      <c r="D8">
        <v>416</v>
      </c>
      <c r="E8">
        <v>793</v>
      </c>
      <c r="F8">
        <v>1.749856569133678</v>
      </c>
      <c r="G8">
        <v>2621.4270557029181</v>
      </c>
      <c r="H8">
        <v>2635.5480769230771</v>
      </c>
      <c r="I8">
        <v>-14.12102122015949</v>
      </c>
      <c r="J8">
        <v>3714.8947510376788</v>
      </c>
      <c r="K8">
        <v>4639.8207461839838</v>
      </c>
      <c r="L8">
        <v>-4.7506012752276713E-2</v>
      </c>
      <c r="M8">
        <v>0.96212210888796368</v>
      </c>
      <c r="N8" t="s">
        <v>31</v>
      </c>
      <c r="O8">
        <f>16*J8^2 / Итог!$B$3^2</f>
        <v>220.80708818059676</v>
      </c>
    </row>
    <row r="9" spans="1:15" x14ac:dyDescent="0.25">
      <c r="A9" t="s">
        <v>25</v>
      </c>
      <c r="B9">
        <v>80</v>
      </c>
      <c r="C9">
        <v>844</v>
      </c>
      <c r="D9">
        <v>880</v>
      </c>
      <c r="E9">
        <v>1724</v>
      </c>
      <c r="F9">
        <v>3.804227900613443</v>
      </c>
      <c r="G9">
        <v>2517.3305687203788</v>
      </c>
      <c r="H9">
        <v>2511.9727272727268</v>
      </c>
      <c r="I9">
        <v>5.3578414476519356</v>
      </c>
      <c r="J9">
        <v>2797.1230332385999</v>
      </c>
      <c r="K9">
        <v>2824.719932223567</v>
      </c>
      <c r="L9">
        <v>3.9566201648877468E-2</v>
      </c>
      <c r="M9">
        <v>0.9684435646708115</v>
      </c>
      <c r="N9" t="s">
        <v>31</v>
      </c>
      <c r="O9">
        <f>16*J9^2 / Итог!$B$3^2</f>
        <v>125.18235620918249</v>
      </c>
    </row>
    <row r="10" spans="1:15" x14ac:dyDescent="0.25">
      <c r="A10" t="s">
        <v>26</v>
      </c>
      <c r="B10">
        <v>88</v>
      </c>
      <c r="C10">
        <v>190</v>
      </c>
      <c r="D10">
        <v>167</v>
      </c>
      <c r="E10">
        <v>357</v>
      </c>
      <c r="F10">
        <v>0.78776645041705273</v>
      </c>
      <c r="G10">
        <v>2902.410526315789</v>
      </c>
      <c r="H10">
        <v>2439.4610778443121</v>
      </c>
      <c r="I10">
        <v>462.94944847147781</v>
      </c>
      <c r="J10">
        <v>3074.648886892026</v>
      </c>
      <c r="K10">
        <v>2689.3430530913829</v>
      </c>
      <c r="L10">
        <v>1.5175500938340989</v>
      </c>
      <c r="M10">
        <v>0.13001786285422051</v>
      </c>
      <c r="N10" t="s">
        <v>31</v>
      </c>
      <c r="O10">
        <f>16*J10^2 / Итог!$B$3^2</f>
        <v>151.255452442662</v>
      </c>
    </row>
    <row r="11" spans="1:15" x14ac:dyDescent="0.25">
      <c r="A11" t="s">
        <v>27</v>
      </c>
      <c r="B11">
        <v>19</v>
      </c>
      <c r="C11">
        <v>130</v>
      </c>
      <c r="D11">
        <v>146</v>
      </c>
      <c r="E11">
        <v>276</v>
      </c>
      <c r="F11">
        <v>0.60902952469217531</v>
      </c>
      <c r="G11">
        <v>2043.823076923077</v>
      </c>
      <c r="H11">
        <v>1743.3767123287671</v>
      </c>
      <c r="I11">
        <v>300.4463645943099</v>
      </c>
      <c r="J11">
        <v>2442.2667875313782</v>
      </c>
      <c r="K11">
        <v>2891.3333593759398</v>
      </c>
      <c r="L11">
        <v>0.93551606144451271</v>
      </c>
      <c r="M11">
        <v>0.35034839915947902</v>
      </c>
      <c r="N11" t="s">
        <v>31</v>
      </c>
      <c r="O11">
        <f>16*J11^2 / Итог!$B$3^2</f>
        <v>95.434672983661414</v>
      </c>
    </row>
    <row r="12" spans="1:15" x14ac:dyDescent="0.25">
      <c r="A12" t="s">
        <v>15</v>
      </c>
      <c r="B12">
        <v>112</v>
      </c>
      <c r="C12">
        <v>652</v>
      </c>
      <c r="D12">
        <v>683</v>
      </c>
      <c r="E12">
        <v>1335</v>
      </c>
      <c r="F12">
        <v>2.9458493313915</v>
      </c>
      <c r="G12">
        <v>2488.1150306748468</v>
      </c>
      <c r="H12">
        <v>2218.6368960468521</v>
      </c>
      <c r="I12">
        <v>269.47813462799468</v>
      </c>
      <c r="J12">
        <v>2778.1791825699402</v>
      </c>
      <c r="K12">
        <v>2780.7906600356741</v>
      </c>
      <c r="L12">
        <v>1.770750677624604</v>
      </c>
      <c r="M12">
        <v>7.6831141887277507E-2</v>
      </c>
      <c r="N12" t="s">
        <v>31</v>
      </c>
      <c r="O12">
        <f>16*J12^2 / Итог!$B$3^2</f>
        <v>123.49247312743969</v>
      </c>
    </row>
    <row r="13" spans="1:15" x14ac:dyDescent="0.25">
      <c r="A13" t="s">
        <v>15</v>
      </c>
      <c r="B13">
        <v>394</v>
      </c>
      <c r="C13">
        <v>104</v>
      </c>
      <c r="D13">
        <v>85</v>
      </c>
      <c r="E13">
        <v>189</v>
      </c>
      <c r="F13">
        <v>0.41705282669138088</v>
      </c>
      <c r="G13">
        <v>1229.6442307692309</v>
      </c>
      <c r="H13">
        <v>973.62352941176471</v>
      </c>
      <c r="I13">
        <v>256.02070135746601</v>
      </c>
      <c r="J13">
        <v>2208.2278398271669</v>
      </c>
      <c r="K13">
        <v>1940.8548250244589</v>
      </c>
      <c r="L13">
        <v>0.84775118125875082</v>
      </c>
      <c r="M13">
        <v>0.39766620246400769</v>
      </c>
      <c r="N13" t="s">
        <v>31</v>
      </c>
      <c r="O13">
        <f>16*J13^2 / Итог!$B$3^2</f>
        <v>78.020323081404086</v>
      </c>
    </row>
    <row r="14" spans="1:15" x14ac:dyDescent="0.25">
      <c r="A14" t="s">
        <v>28</v>
      </c>
      <c r="B14">
        <v>72</v>
      </c>
      <c r="C14">
        <v>609</v>
      </c>
      <c r="D14">
        <v>639</v>
      </c>
      <c r="E14">
        <v>1248</v>
      </c>
      <c r="F14">
        <v>2.753872633390706</v>
      </c>
      <c r="G14">
        <v>2371.4334975369461</v>
      </c>
      <c r="H14">
        <v>2523.3755868544599</v>
      </c>
      <c r="I14">
        <v>-151.9420893175143</v>
      </c>
      <c r="J14">
        <v>2906.8244575313529</v>
      </c>
      <c r="K14">
        <v>2795.9171755336051</v>
      </c>
      <c r="L14">
        <v>-0.94035361645956916</v>
      </c>
      <c r="M14">
        <v>0.34721984597332789</v>
      </c>
      <c r="N14" t="s">
        <v>31</v>
      </c>
      <c r="O14">
        <f>16*J14^2 / Итог!$B$3^2</f>
        <v>135.19405483043909</v>
      </c>
    </row>
    <row r="15" spans="1:15" x14ac:dyDescent="0.25">
      <c r="A15" t="s">
        <v>23</v>
      </c>
      <c r="B15">
        <v>202</v>
      </c>
      <c r="C15">
        <v>551</v>
      </c>
      <c r="D15">
        <v>565</v>
      </c>
      <c r="E15">
        <v>1116</v>
      </c>
      <c r="F15">
        <v>2.4625976433205352</v>
      </c>
      <c r="G15">
        <v>2927.341197822142</v>
      </c>
      <c r="H15">
        <v>2730.378761061947</v>
      </c>
      <c r="I15">
        <v>196.96243676019461</v>
      </c>
      <c r="J15">
        <v>2956.686241494881</v>
      </c>
      <c r="K15">
        <v>2737.8857851630301</v>
      </c>
      <c r="L15">
        <v>1.153960596028992</v>
      </c>
      <c r="M15">
        <v>0.24876639026317529</v>
      </c>
      <c r="N15" t="s">
        <v>31</v>
      </c>
      <c r="O15">
        <f>16*J15^2 / Итог!$B$3^2</f>
        <v>139.871896490322</v>
      </c>
    </row>
    <row r="16" spans="1:15" x14ac:dyDescent="0.25">
      <c r="A16" t="s">
        <v>24</v>
      </c>
      <c r="B16">
        <v>55</v>
      </c>
      <c r="C16">
        <v>422</v>
      </c>
      <c r="D16">
        <v>425</v>
      </c>
      <c r="E16">
        <v>847</v>
      </c>
      <c r="F16">
        <v>1.869014519616929</v>
      </c>
      <c r="G16">
        <v>2109.1066350710898</v>
      </c>
      <c r="H16">
        <v>2111.2729411764708</v>
      </c>
      <c r="I16">
        <v>-2.1663061053809538</v>
      </c>
      <c r="J16">
        <v>2790.9933852461841</v>
      </c>
      <c r="K16">
        <v>2804.2231882427632</v>
      </c>
      <c r="L16">
        <v>-1.12679348284012E-2</v>
      </c>
      <c r="M16">
        <v>0.99101233871754602</v>
      </c>
      <c r="N16" t="s">
        <v>31</v>
      </c>
      <c r="O16">
        <f>16*J16^2 / Итог!$B$3^2</f>
        <v>124.63430522380727</v>
      </c>
    </row>
    <row r="17" spans="1:15" x14ac:dyDescent="0.25">
      <c r="A17" t="s">
        <v>23</v>
      </c>
      <c r="B17">
        <v>444</v>
      </c>
      <c r="C17">
        <v>650</v>
      </c>
      <c r="D17">
        <v>562</v>
      </c>
      <c r="E17">
        <v>1212</v>
      </c>
      <c r="F17">
        <v>2.6744339997352049</v>
      </c>
      <c r="G17">
        <v>2404.106153846154</v>
      </c>
      <c r="H17">
        <v>2545.7348754448399</v>
      </c>
      <c r="I17">
        <v>-141.62872159868579</v>
      </c>
      <c r="J17">
        <v>2810.8284873546108</v>
      </c>
      <c r="K17">
        <v>2797.138763933518</v>
      </c>
      <c r="L17">
        <v>-0.87705147434136754</v>
      </c>
      <c r="M17">
        <v>0.38063622813126857</v>
      </c>
      <c r="N17" t="s">
        <v>31</v>
      </c>
      <c r="O17">
        <f>16*J17^2 / Итог!$B$3^2</f>
        <v>126.41210856518735</v>
      </c>
    </row>
    <row r="18" spans="1:15" x14ac:dyDescent="0.25">
      <c r="A18" t="s">
        <v>21</v>
      </c>
      <c r="B18">
        <v>1989</v>
      </c>
      <c r="C18">
        <v>239</v>
      </c>
      <c r="D18">
        <v>270</v>
      </c>
      <c r="E18">
        <v>509</v>
      </c>
      <c r="F18">
        <v>1.12317401474028</v>
      </c>
      <c r="G18">
        <v>4407.3849372384939</v>
      </c>
      <c r="H18">
        <v>4163.9592592592589</v>
      </c>
      <c r="I18">
        <v>243.42567797923491</v>
      </c>
      <c r="J18">
        <v>2737.9007251199769</v>
      </c>
      <c r="K18">
        <v>2492.0962933115161</v>
      </c>
      <c r="L18">
        <v>1.0440009533424639</v>
      </c>
      <c r="M18">
        <v>0.29700553034601318</v>
      </c>
      <c r="N18" t="s">
        <v>31</v>
      </c>
      <c r="O18">
        <f>16*J18^2 / Итог!$B$3^2</f>
        <v>119.93760608979993</v>
      </c>
    </row>
    <row r="19" spans="1:15" x14ac:dyDescent="0.25">
      <c r="A19" t="s">
        <v>15</v>
      </c>
      <c r="B19">
        <v>576</v>
      </c>
      <c r="C19">
        <v>630</v>
      </c>
      <c r="D19">
        <v>657</v>
      </c>
      <c r="E19">
        <v>1287</v>
      </c>
      <c r="F19">
        <v>2.8399311531841649</v>
      </c>
      <c r="G19">
        <v>1594.436507936508</v>
      </c>
      <c r="H19">
        <v>1342.1293759512939</v>
      </c>
      <c r="I19">
        <v>252.30713198521431</v>
      </c>
      <c r="J19">
        <v>2683.7272105777388</v>
      </c>
      <c r="K19">
        <v>2415.8226638760748</v>
      </c>
      <c r="L19">
        <v>1.7701744708167659</v>
      </c>
      <c r="M19">
        <v>7.6940250983994193E-2</v>
      </c>
      <c r="N19" t="s">
        <v>31</v>
      </c>
      <c r="O19">
        <f>16*J19^2 / Итог!$B$3^2</f>
        <v>115.23826785272594</v>
      </c>
    </row>
    <row r="20" spans="1:15" x14ac:dyDescent="0.25">
      <c r="A20" t="s">
        <v>15</v>
      </c>
      <c r="B20">
        <v>309</v>
      </c>
      <c r="C20">
        <v>240</v>
      </c>
      <c r="D20">
        <v>238</v>
      </c>
      <c r="E20">
        <v>478</v>
      </c>
      <c r="F20">
        <v>1.0547685246480429</v>
      </c>
      <c r="G20">
        <v>2706.2791666666672</v>
      </c>
      <c r="H20">
        <v>2392.8949579831929</v>
      </c>
      <c r="I20">
        <v>313.38420868347339</v>
      </c>
      <c r="J20">
        <v>2814.9398488604011</v>
      </c>
      <c r="K20">
        <v>2761.9387158176169</v>
      </c>
      <c r="L20">
        <v>1.2285525117762699</v>
      </c>
      <c r="M20">
        <v>0.21984675866301021</v>
      </c>
      <c r="N20" t="s">
        <v>31</v>
      </c>
      <c r="O20">
        <f>16*J20^2 / Итог!$B$3^2</f>
        <v>126.78218164323548</v>
      </c>
    </row>
    <row r="21" spans="1:15" x14ac:dyDescent="0.25">
      <c r="A21" t="s">
        <v>16</v>
      </c>
      <c r="B21">
        <v>3987</v>
      </c>
      <c r="C21">
        <v>801</v>
      </c>
      <c r="D21">
        <v>785</v>
      </c>
      <c r="E21">
        <v>1586</v>
      </c>
      <c r="F21">
        <v>3.4997131382673552</v>
      </c>
      <c r="G21">
        <v>1602.995006242197</v>
      </c>
      <c r="H21">
        <v>1639.857324840764</v>
      </c>
      <c r="I21">
        <v>-36.862318598567072</v>
      </c>
      <c r="J21">
        <v>2518.8292052012962</v>
      </c>
      <c r="K21">
        <v>2686.3174166097829</v>
      </c>
      <c r="L21">
        <v>-0.28178227398088551</v>
      </c>
      <c r="M21">
        <v>0.77814753419030236</v>
      </c>
      <c r="N21" t="s">
        <v>31</v>
      </c>
      <c r="O21">
        <f>16*J21^2 / Итог!$B$3^2</f>
        <v>101.51200903959989</v>
      </c>
    </row>
    <row r="22" spans="1:15" x14ac:dyDescent="0.25">
      <c r="A22" t="s">
        <v>16</v>
      </c>
      <c r="B22">
        <v>8543</v>
      </c>
      <c r="C22">
        <v>148</v>
      </c>
      <c r="D22">
        <v>140</v>
      </c>
      <c r="E22">
        <v>288</v>
      </c>
      <c r="F22">
        <v>0.63550906924400907</v>
      </c>
      <c r="G22">
        <v>1859.7770270270271</v>
      </c>
      <c r="H22">
        <v>1804.25</v>
      </c>
      <c r="I22">
        <v>55.527027027027088</v>
      </c>
      <c r="J22">
        <v>2568.9804293811749</v>
      </c>
      <c r="K22">
        <v>3015.7266304677269</v>
      </c>
      <c r="L22">
        <v>0.1677608966738002</v>
      </c>
      <c r="M22">
        <v>0.86689537676896467</v>
      </c>
      <c r="N22" t="s">
        <v>31</v>
      </c>
      <c r="O22">
        <f>16*J22^2 / Итог!$B$3^2</f>
        <v>105.59456714469577</v>
      </c>
    </row>
    <row r="23" spans="1:15" x14ac:dyDescent="0.25">
      <c r="A23" t="s">
        <v>14</v>
      </c>
      <c r="B23">
        <v>516</v>
      </c>
      <c r="C23">
        <v>634</v>
      </c>
      <c r="D23">
        <v>636</v>
      </c>
      <c r="E23">
        <v>1270</v>
      </c>
      <c r="F23">
        <v>2.802418465069068</v>
      </c>
      <c r="G23">
        <v>3237.2003154574131</v>
      </c>
      <c r="H23">
        <v>2880.48427672956</v>
      </c>
      <c r="I23">
        <v>356.71603872785317</v>
      </c>
      <c r="J23">
        <v>4537.1038422947649</v>
      </c>
      <c r="K23">
        <v>3819.2928134705862</v>
      </c>
      <c r="L23">
        <v>1.5154800043608401</v>
      </c>
      <c r="M23">
        <v>0.12990763694432711</v>
      </c>
      <c r="N23" t="s">
        <v>31</v>
      </c>
      <c r="O23">
        <f>16*J23^2 / Итог!$B$3^2</f>
        <v>329.36498041225468</v>
      </c>
    </row>
    <row r="24" spans="1:15" x14ac:dyDescent="0.25">
      <c r="A24" t="s">
        <v>16</v>
      </c>
      <c r="B24">
        <v>2212</v>
      </c>
      <c r="C24">
        <v>422</v>
      </c>
      <c r="D24">
        <v>397</v>
      </c>
      <c r="E24">
        <v>819</v>
      </c>
      <c r="F24">
        <v>1.80722891566265</v>
      </c>
      <c r="G24">
        <v>2813.168246445498</v>
      </c>
      <c r="H24">
        <v>2739.3627204030231</v>
      </c>
      <c r="I24">
        <v>73.805526042474867</v>
      </c>
      <c r="J24">
        <v>3196.8888606429368</v>
      </c>
      <c r="K24">
        <v>2446.9750361819461</v>
      </c>
      <c r="L24">
        <v>0.37229689618977357</v>
      </c>
      <c r="M24">
        <v>0.70977229565237354</v>
      </c>
      <c r="N24" t="s">
        <v>31</v>
      </c>
      <c r="O24">
        <f>16*J24^2 / Итог!$B$3^2</f>
        <v>163.5215741968463</v>
      </c>
    </row>
    <row r="25" spans="1:15" x14ac:dyDescent="0.25">
      <c r="A25" t="s">
        <v>14</v>
      </c>
      <c r="B25">
        <v>439</v>
      </c>
      <c r="C25">
        <v>355</v>
      </c>
      <c r="D25">
        <v>351</v>
      </c>
      <c r="E25">
        <v>706</v>
      </c>
      <c r="F25">
        <v>1.557879871132883</v>
      </c>
      <c r="G25">
        <v>2481.9605633802821</v>
      </c>
      <c r="H25">
        <v>2400.635327635327</v>
      </c>
      <c r="I25">
        <v>81.325235744954171</v>
      </c>
      <c r="J25">
        <v>4040.4410068102538</v>
      </c>
      <c r="K25">
        <v>3722.1170724360341</v>
      </c>
      <c r="L25">
        <v>0.27819655769038959</v>
      </c>
      <c r="M25">
        <v>0.7809435695125726</v>
      </c>
      <c r="N25" t="s">
        <v>31</v>
      </c>
      <c r="O25">
        <f>16*J25^2 / Итог!$B$3^2</f>
        <v>261.20261647222173</v>
      </c>
    </row>
    <row r="26" spans="1:15" x14ac:dyDescent="0.25">
      <c r="A26" t="s">
        <v>23</v>
      </c>
      <c r="B26">
        <v>277</v>
      </c>
      <c r="C26">
        <v>708</v>
      </c>
      <c r="D26">
        <v>709</v>
      </c>
      <c r="E26">
        <v>1417</v>
      </c>
      <c r="F26">
        <v>3.126792885829031</v>
      </c>
      <c r="G26">
        <v>2285.75</v>
      </c>
      <c r="H26">
        <v>2431.3653032440061</v>
      </c>
      <c r="I26">
        <v>-145.61530324400559</v>
      </c>
      <c r="J26">
        <v>2712.677878262808</v>
      </c>
      <c r="K26">
        <v>2868.5875686413842</v>
      </c>
      <c r="L26">
        <v>-0.98174417107903589</v>
      </c>
      <c r="M26">
        <v>0.32639422051119071</v>
      </c>
      <c r="N26" t="s">
        <v>31</v>
      </c>
      <c r="O26">
        <f>16*J26^2 / Итог!$B$3^2</f>
        <v>117.73794033946257</v>
      </c>
    </row>
    <row r="27" spans="1:15" x14ac:dyDescent="0.25">
      <c r="A27" t="s">
        <v>29</v>
      </c>
      <c r="B27">
        <v>69</v>
      </c>
      <c r="C27">
        <v>75</v>
      </c>
      <c r="D27">
        <v>78</v>
      </c>
      <c r="E27">
        <v>153</v>
      </c>
      <c r="F27">
        <v>0.33761419303587981</v>
      </c>
      <c r="G27">
        <v>1171.4533333333329</v>
      </c>
      <c r="H27">
        <v>600.15384615384619</v>
      </c>
      <c r="I27">
        <v>571.29948717948719</v>
      </c>
      <c r="J27">
        <v>2578.1041027632468</v>
      </c>
      <c r="K27">
        <v>1690.1397550523429</v>
      </c>
      <c r="L27">
        <v>1.614302026019274</v>
      </c>
      <c r="M27">
        <v>0.10894456910491809</v>
      </c>
      <c r="N27" t="s">
        <v>31</v>
      </c>
      <c r="O27">
        <f>16*J27^2 / Итог!$B$3^2</f>
        <v>106.34593223495497</v>
      </c>
    </row>
    <row r="28" spans="1:15" x14ac:dyDescent="0.25">
      <c r="A28" t="s">
        <v>25</v>
      </c>
      <c r="B28">
        <v>82</v>
      </c>
      <c r="C28">
        <v>169</v>
      </c>
      <c r="D28">
        <v>229</v>
      </c>
      <c r="E28">
        <v>398</v>
      </c>
      <c r="F28">
        <v>0.87823822763581794</v>
      </c>
      <c r="G28">
        <v>2586.0118343195272</v>
      </c>
      <c r="H28">
        <v>2655.6724890829701</v>
      </c>
      <c r="I28">
        <v>-69.660654763442835</v>
      </c>
      <c r="J28">
        <v>2676.4355627004538</v>
      </c>
      <c r="K28">
        <v>2929.3636863964912</v>
      </c>
      <c r="L28">
        <v>-0.24650524539756849</v>
      </c>
      <c r="M28">
        <v>0.80542480583820231</v>
      </c>
      <c r="N28" t="s">
        <v>31</v>
      </c>
      <c r="O28">
        <f>16*J28^2 / Итог!$B$3^2</f>
        <v>114.61291714060313</v>
      </c>
    </row>
    <row r="29" spans="1:15" x14ac:dyDescent="0.25">
      <c r="A29" t="s">
        <v>28</v>
      </c>
      <c r="B29">
        <v>73</v>
      </c>
      <c r="C29">
        <v>187</v>
      </c>
      <c r="D29">
        <v>167</v>
      </c>
      <c r="E29">
        <v>354</v>
      </c>
      <c r="F29">
        <v>0.78114656427909435</v>
      </c>
      <c r="G29">
        <v>2092.181818181818</v>
      </c>
      <c r="H29">
        <v>2521.958083832335</v>
      </c>
      <c r="I29">
        <v>-429.77626565051742</v>
      </c>
      <c r="J29">
        <v>2530.2746480809951</v>
      </c>
      <c r="K29">
        <v>2875.45963293559</v>
      </c>
      <c r="L29">
        <v>-1.4851033592835969</v>
      </c>
      <c r="M29">
        <v>0.13846276691258799</v>
      </c>
      <c r="N29" t="s">
        <v>31</v>
      </c>
      <c r="O29">
        <f>16*J29^2 / Итог!$B$3^2</f>
        <v>102.43663671554246</v>
      </c>
    </row>
    <row r="30" spans="1:15" x14ac:dyDescent="0.25">
      <c r="A30" t="s">
        <v>16</v>
      </c>
      <c r="B30">
        <v>9121</v>
      </c>
      <c r="C30">
        <v>131</v>
      </c>
      <c r="D30">
        <v>108</v>
      </c>
      <c r="E30">
        <v>239</v>
      </c>
      <c r="F30">
        <v>0.52738426232402136</v>
      </c>
      <c r="G30">
        <v>1976.854961832061</v>
      </c>
      <c r="H30">
        <v>1856.9444444444439</v>
      </c>
      <c r="I30">
        <v>119.91051738761669</v>
      </c>
      <c r="J30">
        <v>2605.7974274007302</v>
      </c>
      <c r="K30">
        <v>2442.3261657052421</v>
      </c>
      <c r="L30">
        <v>0.36646667467885019</v>
      </c>
      <c r="M30">
        <v>0.71434929078190579</v>
      </c>
      <c r="N30" t="s">
        <v>31</v>
      </c>
      <c r="O30">
        <f>16*J30^2 / Итог!$B$3^2</f>
        <v>108.64288372237222</v>
      </c>
    </row>
    <row r="31" spans="1:15" x14ac:dyDescent="0.25">
      <c r="A31" t="s">
        <v>30</v>
      </c>
      <c r="B31">
        <v>2</v>
      </c>
      <c r="C31">
        <v>78</v>
      </c>
      <c r="D31">
        <v>71</v>
      </c>
      <c r="E31">
        <v>149</v>
      </c>
      <c r="F31">
        <v>0.32878767818526861</v>
      </c>
      <c r="G31">
        <v>579.33333333333337</v>
      </c>
      <c r="H31">
        <v>483.45070422535213</v>
      </c>
      <c r="I31">
        <v>95.882629107981245</v>
      </c>
      <c r="J31">
        <v>1860.7624304329711</v>
      </c>
      <c r="K31">
        <v>1654.923181546782</v>
      </c>
      <c r="L31">
        <v>0.33288475854446581</v>
      </c>
      <c r="M31">
        <v>0.73969578830356453</v>
      </c>
      <c r="N31" t="s">
        <v>31</v>
      </c>
      <c r="O31">
        <f>16*J31^2 / Итог!$B$3^2</f>
        <v>55.39898916017308</v>
      </c>
    </row>
    <row r="32" spans="1:15" x14ac:dyDescent="0.25">
      <c r="A32" t="s">
        <v>16</v>
      </c>
      <c r="B32">
        <v>3786</v>
      </c>
      <c r="C32">
        <v>237</v>
      </c>
      <c r="D32">
        <v>278</v>
      </c>
      <c r="E32">
        <v>515</v>
      </c>
      <c r="F32">
        <v>1.136413787016197</v>
      </c>
      <c r="G32">
        <v>2613.683544303798</v>
      </c>
      <c r="H32">
        <v>2688.2302158273378</v>
      </c>
      <c r="I32">
        <v>-74.546671523540681</v>
      </c>
      <c r="J32">
        <v>2712.2358586268442</v>
      </c>
      <c r="K32">
        <v>3292.9376410463851</v>
      </c>
      <c r="L32">
        <v>-0.28167124006317618</v>
      </c>
      <c r="M32">
        <v>0.77830932497055172</v>
      </c>
      <c r="N32" t="s">
        <v>31</v>
      </c>
      <c r="O32">
        <f>16*J32^2 / Итог!$B$3^2</f>
        <v>117.69957364514072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Положительные</vt:lpstr>
      <vt:lpstr>Отрицательные</vt:lpstr>
      <vt:lpstr>Нейтральные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CDM5</cp:lastModifiedBy>
  <dcterms:created xsi:type="dcterms:W3CDTF">2026-05-11T08:13:56Z</dcterms:created>
  <dcterms:modified xsi:type="dcterms:W3CDTF">2026-05-12T08:05:05Z</dcterms:modified>
</cp:coreProperties>
</file>